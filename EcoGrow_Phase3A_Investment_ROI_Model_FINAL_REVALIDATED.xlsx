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st Model" sheetId="3" state="visible" r:id="rId3"/>
    <sheet xmlns:r="http://schemas.openxmlformats.org/officeDocument/2006/relationships" name="Benefit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Decision G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EcoGrow Investment &amp; ROI Model</t>
        </is>
      </c>
      <c r="B1" s="1" t="inlineStr">
        <is>
          <t>Phase 3A controlled analysis framework</t>
        </is>
      </c>
    </row>
    <row r="2">
      <c r="A2" s="2" t="inlineStr">
        <is>
          <t>Purpose</t>
        </is>
      </c>
      <c r="B2" s="2" t="inlineStr">
        <is>
          <t>Model investment, cost, benefit and scenario inputs only when supported by evidence.</t>
        </is>
      </c>
    </row>
    <row r="3">
      <c r="A3" s="2" t="inlineStr">
        <is>
          <t>Rule</t>
        </is>
      </c>
      <c r="B3" s="2" t="inlineStr">
        <is>
          <t>Blank inputs remain blank. No EcoGrow financial result is assumed.</t>
        </is>
      </c>
    </row>
    <row r="4">
      <c r="A4" s="2" t="inlineStr">
        <is>
          <t>Benefit evidence</t>
        </is>
      </c>
      <c r="B4" s="2" t="inlineStr">
        <is>
          <t>BO-01 to BO-04 actuals remain pending operational data.</t>
        </is>
      </c>
    </row>
    <row r="5">
      <c r="A5" s="2" t="inlineStr">
        <is>
          <t>Future-state boundary</t>
        </is>
      </c>
      <c r="B5" s="2" t="inlineStr">
        <is>
          <t>F01-F06 remain discovery. This workbook does not create Jira delivery evidence.</t>
        </is>
      </c>
    </row>
    <row r="7">
      <c r="A7" t="inlineStr">
        <is>
          <t>Time basis</t>
        </is>
      </c>
      <c r="B7" t="inlineStr">
        <is>
          <t>Every Recurring Cost and Quantified Benefit figure must be entered as a monthly rate. Net Benefit and ROI multiply these by A-01 Analysis Period before combining with the one-time investment. Payback Period is calculated from the monthly rates directly and is shown as Not recoverable if it would exceed the Analysis Period itself.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1" customWidth="1" min="4" max="4"/>
    <col width="42" customWidth="1" min="5" max="5"/>
    <col width="19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Assumption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Evidence Source</t>
        </is>
      </c>
      <c r="F1" s="1" t="inlineStr">
        <is>
          <t>Validation Status</t>
        </is>
      </c>
      <c r="G1" s="1" t="inlineStr">
        <is>
          <t>Sensitivity</t>
        </is>
      </c>
      <c r="H1" s="3" t="inlineStr">
        <is>
          <t>Downside Input</t>
        </is>
      </c>
      <c r="I1" s="3" t="inlineStr">
        <is>
          <t>Upside Input</t>
        </is>
      </c>
      <c r="J1" s="3" t="inlineStr">
        <is>
          <t>Impact Metric</t>
        </is>
      </c>
      <c r="K1" s="3" t="inlineStr">
        <is>
          <t>Owner</t>
        </is>
      </c>
      <c r="L1" s="3" t="inlineStr">
        <is>
          <t>Target Resolution</t>
        </is>
      </c>
    </row>
    <row r="2">
      <c r="A2" s="2" t="inlineStr">
        <is>
          <t>A-01</t>
        </is>
      </c>
      <c r="B2" s="2" t="inlineStr">
        <is>
          <t>Analysis period</t>
        </is>
      </c>
      <c r="C2" s="2" t="n"/>
      <c r="D2" s="2" t="inlineStr">
        <is>
          <t>months</t>
        </is>
      </c>
      <c r="E2" s="2" t="inlineStr">
        <is>
          <t>Decision input required</t>
        </is>
      </c>
      <c r="F2" s="2" t="inlineStr">
        <is>
          <t>Open</t>
        </is>
      </c>
      <c r="G2" s="2" t="inlineStr">
        <is>
          <t>High</t>
        </is>
      </c>
      <c r="K2" t="inlineStr">
        <is>
          <t>Product Sponsor Persona</t>
        </is>
      </c>
      <c r="L2" t="inlineStr">
        <is>
          <t>Not yet scheduled</t>
        </is>
      </c>
    </row>
    <row r="3">
      <c r="A3" s="2" t="inlineStr">
        <is>
          <t>A-02</t>
        </is>
      </c>
      <c r="B3" s="2" t="inlineStr">
        <is>
          <t>Adoption volume</t>
        </is>
      </c>
      <c r="C3" s="2" t="n"/>
      <c r="D3" s="2" t="inlineStr">
        <is>
          <t>users / events</t>
        </is>
      </c>
      <c r="E3" s="2" t="inlineStr">
        <is>
          <t>F06 adoption scenario evidence required</t>
        </is>
      </c>
      <c r="F3" s="2" t="inlineStr">
        <is>
          <t>Open</t>
        </is>
      </c>
      <c r="G3" s="2" t="inlineStr">
        <is>
          <t>High</t>
        </is>
      </c>
      <c r="J3" t="inlineStr">
        <is>
          <t>ROI / net benefit</t>
        </is>
      </c>
      <c r="K3" t="inlineStr">
        <is>
          <t>Product Sponsor Persona</t>
        </is>
      </c>
      <c r="L3" t="inlineStr">
        <is>
          <t>Not yet scheduled</t>
        </is>
      </c>
    </row>
    <row r="4">
      <c r="A4" s="2" t="inlineStr">
        <is>
          <t>A-03</t>
        </is>
      </c>
      <c r="B4" s="2" t="inlineStr">
        <is>
          <t>Infrastructure cost per unit</t>
        </is>
      </c>
      <c r="C4" s="2" t="n"/>
      <c r="D4" s="2" t="inlineStr">
        <is>
          <t>currency / unit</t>
        </is>
      </c>
      <c r="E4" s="2" t="inlineStr">
        <is>
          <t>Provider or validated cost evidence required</t>
        </is>
      </c>
      <c r="F4" s="2" t="inlineStr">
        <is>
          <t>Open</t>
        </is>
      </c>
      <c r="G4" s="2" t="inlineStr">
        <is>
          <t>High</t>
        </is>
      </c>
      <c r="J4" t="inlineStr">
        <is>
          <t>ROI / net benefit</t>
        </is>
      </c>
      <c r="K4" t="inlineStr">
        <is>
          <t>Product Sponsor Persona</t>
        </is>
      </c>
      <c r="L4" t="inlineStr">
        <is>
          <t>Not yet scheduled</t>
        </is>
      </c>
    </row>
    <row r="5">
      <c r="A5" s="2" t="inlineStr">
        <is>
          <t>A-04</t>
        </is>
      </c>
      <c r="B5" s="2" t="inlineStr">
        <is>
          <t>API cost per unit</t>
        </is>
      </c>
      <c r="C5" s="2" t="n"/>
      <c r="D5" s="2" t="inlineStr">
        <is>
          <t>currency / call</t>
        </is>
      </c>
      <c r="E5" s="2" t="inlineStr">
        <is>
          <t>Provider pricing required if applicable</t>
        </is>
      </c>
      <c r="F5" s="2" t="inlineStr">
        <is>
          <t>Open</t>
        </is>
      </c>
      <c r="G5" s="2" t="inlineStr">
        <is>
          <t>Medium</t>
        </is>
      </c>
      <c r="J5" t="inlineStr">
        <is>
          <t>ROI / net benefit</t>
        </is>
      </c>
      <c r="K5" t="inlineStr">
        <is>
          <t>Product Sponsor Persona</t>
        </is>
      </c>
      <c r="L5" t="inlineStr">
        <is>
          <t>Not yet scheduled</t>
        </is>
      </c>
    </row>
    <row r="6">
      <c r="A6" s="2" t="inlineStr">
        <is>
          <t>A-05</t>
        </is>
      </c>
      <c r="B6" s="2" t="inlineStr">
        <is>
          <t>Storage cost per unit</t>
        </is>
      </c>
      <c r="C6" s="2" t="n"/>
      <c r="D6" s="2" t="inlineStr">
        <is>
          <t>currency / GB-month</t>
        </is>
      </c>
      <c r="E6" s="2" t="inlineStr">
        <is>
          <t>Validated storage pricing required if applicable</t>
        </is>
      </c>
      <c r="F6" s="2" t="inlineStr">
        <is>
          <t>Open</t>
        </is>
      </c>
      <c r="G6" s="2" t="inlineStr">
        <is>
          <t>Medium</t>
        </is>
      </c>
      <c r="K6" t="inlineStr">
        <is>
          <t>Product Sponsor Persona</t>
        </is>
      </c>
      <c r="L6" t="inlineStr">
        <is>
          <t>Not yet scheduled</t>
        </is>
      </c>
    </row>
    <row r="7">
      <c r="A7" s="2" t="inlineStr">
        <is>
          <t>A-06</t>
        </is>
      </c>
      <c r="B7" s="2" t="inlineStr">
        <is>
          <t>Support cost</t>
        </is>
      </c>
      <c r="C7" s="2" t="n"/>
      <c r="D7" s="2" t="inlineStr">
        <is>
          <t>currency / period</t>
        </is>
      </c>
      <c r="E7" s="2" t="inlineStr">
        <is>
          <t>Operating model and support evidence required</t>
        </is>
      </c>
      <c r="F7" s="2" t="inlineStr">
        <is>
          <t>Open</t>
        </is>
      </c>
      <c r="G7" s="2" t="inlineStr">
        <is>
          <t>High</t>
        </is>
      </c>
      <c r="J7" t="inlineStr">
        <is>
          <t>ROI / net benefit</t>
        </is>
      </c>
      <c r="K7" t="inlineStr">
        <is>
          <t>Product Sponsor Persona</t>
        </is>
      </c>
      <c r="L7" t="inlineStr">
        <is>
          <t>Not yet scheduled</t>
        </is>
      </c>
    </row>
    <row r="8">
      <c r="A8" t="inlineStr">
        <is>
          <t>A-07</t>
        </is>
      </c>
      <c r="B8" t="inlineStr">
        <is>
          <t>Benefit monetisation basis</t>
        </is>
      </c>
      <c r="E8" t="inlineStr">
        <is>
          <t>Operational evidence and defensible valuation required</t>
        </is>
      </c>
      <c r="F8" t="inlineStr">
        <is>
          <t>Open</t>
        </is>
      </c>
      <c r="G8" t="inlineStr">
        <is>
          <t>High</t>
        </is>
      </c>
      <c r="J8" t="inlineStr">
        <is>
          <t>ROI / net benefit</t>
        </is>
      </c>
      <c r="K8" t="inlineStr">
        <is>
          <t>Product Sponsor Persona</t>
        </is>
      </c>
      <c r="L8" t="inlineStr">
        <is>
          <t>Not yet 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12" customWidth="1" min="4" max="4"/>
    <col width="12" customWidth="1" min="5" max="5"/>
    <col width="12" customWidth="1" min="6" max="6"/>
    <col width="31" customWidth="1" min="7" max="7"/>
    <col width="17" customWidth="1" min="8" max="8"/>
    <col width="12" customWidth="1" min="9" max="9"/>
  </cols>
  <sheetData>
    <row r="1">
      <c r="A1" s="1" t="inlineStr">
        <is>
          <t>Cost ID</t>
        </is>
      </c>
      <c r="B1" s="1" t="inlineStr">
        <is>
          <t>Category</t>
        </is>
      </c>
      <c r="C1" s="1" t="inlineStr">
        <is>
          <t>Driver</t>
        </is>
      </c>
      <c r="D1" s="1" t="inlineStr">
        <is>
          <t>Quantity</t>
        </is>
      </c>
      <c r="E1" s="1" t="inlineStr">
        <is>
          <t>Unit Cost</t>
        </is>
      </c>
      <c r="F1" s="1" t="inlineStr">
        <is>
          <t>Period</t>
        </is>
      </c>
      <c r="G1" s="1" t="inlineStr">
        <is>
          <t>Total Cost</t>
        </is>
      </c>
      <c r="H1" s="1" t="inlineStr">
        <is>
          <t>Evidence Source</t>
        </is>
      </c>
      <c r="I1" s="1" t="inlineStr">
        <is>
          <t>Status</t>
        </is>
      </c>
    </row>
    <row r="2">
      <c r="A2" s="2" t="inlineStr">
        <is>
          <t>C-01</t>
        </is>
      </c>
      <c r="B2" s="2" t="inlineStr">
        <is>
          <t>Infrastructure</t>
        </is>
      </c>
      <c r="C2" s="2" t="inlineStr">
        <is>
          <t>Capacity / usage</t>
        </is>
      </c>
      <c r="D2" s="2" t="n"/>
      <c r="E2" s="2" t="n"/>
      <c r="F2" s="2" t="inlineStr">
        <is>
          <t>Monthly</t>
        </is>
      </c>
      <c r="G2" s="2">
        <f>IF(OR(D2="",E2=""),"",D2*E2)</f>
        <v/>
      </c>
      <c r="H2" s="2" t="inlineStr"/>
      <c r="I2" s="2" t="inlineStr">
        <is>
          <t>Open</t>
        </is>
      </c>
    </row>
    <row r="3">
      <c r="A3" s="2" t="inlineStr">
        <is>
          <t>C-02</t>
        </is>
      </c>
      <c r="B3" s="2" t="inlineStr">
        <is>
          <t>External API</t>
        </is>
      </c>
      <c r="C3" s="2" t="inlineStr">
        <is>
          <t>Calls / service tier</t>
        </is>
      </c>
      <c r="D3" s="2" t="n"/>
      <c r="E3" s="2" t="n"/>
      <c r="F3" s="2" t="inlineStr">
        <is>
          <t>Monthly</t>
        </is>
      </c>
      <c r="G3" s="2">
        <f>IF(OR(D3="",E3=""),"",D3*E3)</f>
        <v/>
      </c>
      <c r="H3" s="2" t="inlineStr"/>
      <c r="I3" s="2" t="inlineStr">
        <is>
          <t>Open</t>
        </is>
      </c>
    </row>
    <row r="4">
      <c r="A4" s="2" t="inlineStr">
        <is>
          <t>C-03</t>
        </is>
      </c>
      <c r="B4" s="2" t="inlineStr">
        <is>
          <t>Storage</t>
        </is>
      </c>
      <c r="C4" s="2" t="inlineStr">
        <is>
          <t>Data volume / retention</t>
        </is>
      </c>
      <c r="D4" s="2" t="n"/>
      <c r="E4" s="2" t="n"/>
      <c r="F4" s="2" t="inlineStr">
        <is>
          <t>Monthly</t>
        </is>
      </c>
      <c r="G4" s="2">
        <f>IF(OR(D4="",E4=""),"",D4*E4)</f>
        <v/>
      </c>
      <c r="H4" s="2" t="inlineStr"/>
      <c r="I4" s="2" t="inlineStr">
        <is>
          <t>Open</t>
        </is>
      </c>
    </row>
    <row r="5">
      <c r="A5" s="2" t="inlineStr">
        <is>
          <t>C-04</t>
        </is>
      </c>
      <c r="B5" s="2" t="inlineStr">
        <is>
          <t>Support / Operations</t>
        </is>
      </c>
      <c r="C5" s="2" t="inlineStr">
        <is>
          <t>Support load</t>
        </is>
      </c>
      <c r="D5" s="2" t="n"/>
      <c r="E5" s="2" t="n"/>
      <c r="F5" s="2" t="inlineStr">
        <is>
          <t>Monthly</t>
        </is>
      </c>
      <c r="G5" s="2">
        <f>IF(OR(D5="",E5=""),"",D5*E5)</f>
        <v/>
      </c>
      <c r="H5" s="2" t="inlineStr"/>
      <c r="I5" s="2" t="inlineStr">
        <is>
          <t>Open</t>
        </is>
      </c>
    </row>
    <row r="6">
      <c r="A6" s="2" t="inlineStr">
        <is>
          <t>C-05</t>
        </is>
      </c>
      <c r="B6" s="2" t="inlineStr">
        <is>
          <t>Integration</t>
        </is>
      </c>
      <c r="C6" s="2" t="inlineStr">
        <is>
          <t>Integration scope</t>
        </is>
      </c>
      <c r="D6" s="2" t="n"/>
      <c r="E6" s="2" t="n"/>
      <c r="F6" s="2" t="inlineStr">
        <is>
          <t>Monthly</t>
        </is>
      </c>
      <c r="G6" s="2">
        <f>IF(OR(D6="",E6=""),"",D6*E6)</f>
        <v/>
      </c>
      <c r="H6" s="2" t="inlineStr"/>
      <c r="I6" s="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5" customWidth="1" min="3" max="3"/>
    <col width="30" customWidth="1" min="4" max="4"/>
    <col width="42" customWidth="1" min="5" max="5"/>
    <col width="17" customWidth="1" min="6" max="6"/>
    <col width="42" customWidth="1" min="7" max="7"/>
    <col width="37" customWidth="1" min="8" max="8"/>
  </cols>
  <sheetData>
    <row r="1">
      <c r="A1" s="1" t="inlineStr">
        <is>
          <t>Benefit ID</t>
        </is>
      </c>
      <c r="B1" s="1" t="inlineStr">
        <is>
          <t>Measure</t>
        </is>
      </c>
      <c r="C1" s="1" t="inlineStr">
        <is>
          <t>Owner</t>
        </is>
      </c>
      <c r="D1" s="1" t="inlineStr">
        <is>
          <t>Review Point</t>
        </is>
      </c>
      <c r="E1" s="1" t="inlineStr">
        <is>
          <t>Current Actual</t>
        </is>
      </c>
      <c r="F1" s="1" t="inlineStr">
        <is>
          <t>Financial Value</t>
        </is>
      </c>
      <c r="G1" s="1" t="inlineStr">
        <is>
          <t>Evidence Source</t>
        </is>
      </c>
      <c r="H1" s="1" t="inlineStr">
        <is>
          <t>Status</t>
        </is>
      </c>
      <c r="I1" s="3" t="inlineStr">
        <is>
          <t>Basis</t>
        </is>
      </c>
      <c r="J1" s="3" t="inlineStr">
        <is>
          <t>Definition</t>
        </is>
      </c>
      <c r="K1" s="3" t="inlineStr">
        <is>
          <t>Measurement Formula</t>
        </is>
      </c>
    </row>
    <row r="2">
      <c r="A2" s="2" t="inlineStr">
        <is>
          <t>BO-01</t>
        </is>
      </c>
      <c r="B2" s="2" t="inlineStr">
        <is>
          <t>Search-to-view completion rate</t>
        </is>
      </c>
      <c r="C2" s="2" t="inlineStr">
        <is>
          <t>Product Owner Persona</t>
        </is>
      </c>
      <c r="D2" s="2" t="inlineStr">
        <is>
          <t>First full month post-launch</t>
        </is>
      </c>
      <c r="E2" s="2" t="inlineStr">
        <is>
          <t>Pending operational data</t>
        </is>
      </c>
      <c r="F2" s="2" t="n"/>
      <c r="G2" s="2" t="inlineStr">
        <is>
          <t>Plant Library usage events</t>
        </is>
      </c>
      <c r="H2" s="2" t="inlineStr">
        <is>
          <t>Operational value not yet monetised</t>
        </is>
      </c>
      <c r="I2" t="inlineStr">
        <is>
          <t>Monthly</t>
        </is>
      </c>
      <c r="J2" t="inlineStr">
        <is>
          <t>The percentage of Plant Library searches that result in the gardener opening a returned plant entry.</t>
        </is>
      </c>
      <c r="K2" t="inlineStr">
        <is>
          <t>Searches resulting in a viewed entry / total Plant Library searches</t>
        </is>
      </c>
    </row>
    <row r="3">
      <c r="A3" s="2" t="inlineStr">
        <is>
          <t>BO-02</t>
        </is>
      </c>
      <c r="B3" s="2" t="inlineStr">
        <is>
          <t>Percentage of posts receiving a response within 48 hours</t>
        </is>
      </c>
      <c r="C3" s="2" t="inlineStr">
        <is>
          <t>Product Owner Persona</t>
        </is>
      </c>
      <c r="D3" s="2" t="inlineStr">
        <is>
          <t>First full month post-launch</t>
        </is>
      </c>
      <c r="E3" s="2" t="inlineStr">
        <is>
          <t>Pending operational data, and Phase 2 response feature</t>
        </is>
      </c>
      <c r="F3" s="2" t="n"/>
      <c r="G3" s="2" t="inlineStr">
        <is>
          <t>Forum response events / Phase 2 capability</t>
        </is>
      </c>
      <c r="H3" s="2" t="inlineStr">
        <is>
          <t>Operational value not yet monetised</t>
        </is>
      </c>
      <c r="I3" t="inlineStr">
        <is>
          <t>Monthly</t>
        </is>
      </c>
      <c r="J3" t="inlineStr">
        <is>
          <t>The proportion of Community Forum posts that receive at least one reply within 48 hours of posting.</t>
        </is>
      </c>
      <c r="K3" t="inlineStr">
        <is>
          <t>Posts with a response within 48 hours / total posts</t>
        </is>
      </c>
    </row>
    <row r="4">
      <c r="A4" s="2" t="inlineStr">
        <is>
          <t>BO-03</t>
        </is>
      </c>
      <c r="B4" s="2" t="inlineStr">
        <is>
          <t>Percentage of logged plantings reaching a logged harvest</t>
        </is>
      </c>
      <c r="C4" s="2" t="inlineStr">
        <is>
          <t>Product Owner Persona</t>
        </is>
      </c>
      <c r="D4" s="2" t="inlineStr">
        <is>
          <t>First full month post-launch</t>
        </is>
      </c>
      <c r="E4" s="2" t="inlineStr">
        <is>
          <t>Pending operational data</t>
        </is>
      </c>
      <c r="F4" s="2" t="n"/>
      <c r="G4" s="2" t="inlineStr">
        <is>
          <t>Harvest Tracker events</t>
        </is>
      </c>
      <c r="H4" s="2" t="inlineStr">
        <is>
          <t>Operational value not yet monetised</t>
        </is>
      </c>
      <c r="I4" t="inlineStr">
        <is>
          <t>Monthly</t>
        </is>
      </c>
      <c r="J4" t="inlineStr">
        <is>
          <t>The proportion of planting-log entries that are eventually closed out with a corresponding harvest-log entry.</t>
        </is>
      </c>
      <c r="K4" t="inlineStr">
        <is>
          <t>Planting-log entries with a matched harvest-log entry / total planting-log entries</t>
        </is>
      </c>
    </row>
    <row r="5">
      <c r="A5" s="2" t="inlineStr">
        <is>
          <t>BO-04</t>
        </is>
      </c>
      <c r="B5" s="2" t="inlineStr">
        <is>
          <t>Usage data completeness and reliability</t>
        </is>
      </c>
      <c r="C5" s="2" t="inlineStr">
        <is>
          <t>Product Sponsor Persona</t>
        </is>
      </c>
      <c r="D5" s="2" t="inlineStr">
        <is>
          <t>Ongoing, reviewed quarterly</t>
        </is>
      </c>
      <c r="E5" s="2" t="inlineStr">
        <is>
          <t>Assessed from first data capture</t>
        </is>
      </c>
      <c r="F5" s="2" t="n"/>
      <c r="G5" s="2" t="inlineStr">
        <is>
          <t>FR-08 usage events</t>
        </is>
      </c>
      <c r="H5" s="2" t="inlineStr">
        <is>
          <t>Measurement value not yet monetised</t>
        </is>
      </c>
      <c r="I5" t="inlineStr">
        <is>
          <t>Monthly</t>
        </is>
      </c>
      <c r="J5" t="inlineStr">
        <is>
          <t>The degree to which usage events are captured accurately and consistently across all three capabilities without gaps.</t>
        </is>
      </c>
      <c r="K5" t="inlineStr">
        <is>
          <t>Usage events successfully captured / total user actions expected to generate 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1" customWidth="1" min="3" max="3"/>
    <col width="16" customWidth="1" min="4" max="4"/>
    <col width="20" customWidth="1" min="5" max="5"/>
    <col width="42" customWidth="1" min="6" max="6"/>
    <col width="42" customWidth="1" min="7" max="7"/>
    <col width="17" customWidth="1" min="8" max="8"/>
  </cols>
  <sheetData>
    <row r="1">
      <c r="A1" s="1" t="inlineStr">
        <is>
          <t>Scenario</t>
        </is>
      </c>
      <c r="B1" s="1" t="inlineStr">
        <is>
          <t>Adoption Input</t>
        </is>
      </c>
      <c r="C1" s="1" t="inlineStr">
        <is>
          <t>One-Time Investment</t>
        </is>
      </c>
      <c r="D1" s="1" t="inlineStr">
        <is>
          <t>Recurring Cost</t>
        </is>
      </c>
      <c r="E1" s="1" t="inlineStr">
        <is>
          <t>Quantified Benefit</t>
        </is>
      </c>
      <c r="F1" s="1" t="inlineStr">
        <is>
          <t>Net Benefit</t>
        </is>
      </c>
      <c r="G1" s="1" t="inlineStr">
        <is>
          <t>ROI</t>
        </is>
      </c>
      <c r="H1" s="1" t="inlineStr">
        <is>
          <t>Evidence Status</t>
        </is>
      </c>
      <c r="I1" s="3" t="inlineStr">
        <is>
          <t>Payback Period (months)</t>
        </is>
      </c>
    </row>
    <row r="2">
      <c r="A2" s="2" t="inlineStr">
        <is>
          <t>Baseline</t>
        </is>
      </c>
      <c r="B2" s="2" t="n"/>
      <c r="C2" s="2" t="n"/>
      <c r="D2" s="2" t="n"/>
      <c r="E2" s="2" t="n"/>
      <c r="F2" s="2">
        <f>IF(OR(C2="",D2="",E2="",Assumptions!$C$2=""),"",(E2*Assumptions!$C$2)-(C2+D2*Assumptions!$C$2))</f>
        <v/>
      </c>
      <c r="G2" s="2">
        <f>IF(OR(F2="",C2="",C2=0),"",F2/C2)</f>
        <v/>
      </c>
      <c r="H2" s="2" t="inlineStr">
        <is>
          <t>Inputs required</t>
        </is>
      </c>
      <c r="I2">
        <f>IF(OR(C2="",D2="",E2="",Assumptions!$C$2="",Assumptions!$C$2&lt;=0),"",IF((E2-D2)&lt;=0,"Not recoverable",IF(C2/(E2-D2)&gt;Assumptions!$C$2,"Not recoverable",C2/(E2-D2))))</f>
        <v/>
      </c>
    </row>
    <row r="3">
      <c r="A3" s="2" t="inlineStr">
        <is>
          <t>Constrained adoption</t>
        </is>
      </c>
      <c r="B3" s="2" t="n"/>
      <c r="C3" s="2" t="n"/>
      <c r="D3" s="2" t="n"/>
      <c r="E3" s="2" t="n"/>
      <c r="F3" s="2">
        <f>IF(OR(C3="",D3="",E3="",Assumptions!$C$2=""),"",(E3*Assumptions!$C$2)-(C3+D3*Assumptions!$C$2))</f>
        <v/>
      </c>
      <c r="G3" s="2">
        <f>IF(OR(F3="",C3="",C3=0),"",F3/C3)</f>
        <v/>
      </c>
      <c r="H3" s="2" t="inlineStr">
        <is>
          <t>Inputs required</t>
        </is>
      </c>
      <c r="I3">
        <f>IF(OR(C3="",D3="",E3="",Assumptions!$C$2="",Assumptions!$C$2&lt;=0),"",IF((E3-D3)&lt;=0,"Not recoverable",IF(C3/(E3-D3)&gt;Assumptions!$C$2,"Not recoverable",C3/(E3-D3))))</f>
        <v/>
      </c>
    </row>
    <row r="4">
      <c r="A4" s="2" t="inlineStr">
        <is>
          <t>Higher adoption</t>
        </is>
      </c>
      <c r="B4" s="2" t="n"/>
      <c r="C4" s="2" t="n"/>
      <c r="D4" s="2" t="n"/>
      <c r="E4" s="2" t="n"/>
      <c r="F4" s="2">
        <f>IF(OR(C4="",D4="",E4="",Assumptions!$C$2=""),"",(E4*Assumptions!$C$2)-(C4+D4*Assumptions!$C$2))</f>
        <v/>
      </c>
      <c r="G4" s="2">
        <f>IF(OR(F4="",C4="",C4=0),"",F4/C4)</f>
        <v/>
      </c>
      <c r="H4" s="2" t="inlineStr">
        <is>
          <t>Inputs required</t>
        </is>
      </c>
      <c r="I4">
        <f>IF(OR(C4="",D4="",E4="",Assumptions!$C$2="",Assumptions!$C$2&lt;=0),"",IF((E4-D4)&lt;=0,"Not recoverable",IF(C4/(E4-D4)&gt;Assumptions!$C$2,"Not recoverable",C4/(E4-D4))))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6" customWidth="1" min="3" max="3"/>
    <col width="42" customWidth="1" min="4" max="4"/>
    <col width="12" customWidth="1" min="5" max="5"/>
  </cols>
  <sheetData>
    <row r="1">
      <c r="A1" s="1" t="inlineStr">
        <is>
          <t>Gate</t>
        </is>
      </c>
      <c r="B1" s="1" t="inlineStr">
        <is>
          <t>Question</t>
        </is>
      </c>
      <c r="C1" s="1" t="inlineStr">
        <is>
          <t>Current Status</t>
        </is>
      </c>
      <c r="D1" s="1" t="inlineStr">
        <is>
          <t>Required Evidence</t>
        </is>
      </c>
      <c r="E1" s="1" t="inlineStr">
        <is>
          <t>Decision</t>
        </is>
      </c>
      <c r="F1" s="3" t="inlineStr">
        <is>
          <t>Owner</t>
        </is>
      </c>
      <c r="G1" s="3" t="inlineStr">
        <is>
          <t>Target Resolution</t>
        </is>
      </c>
    </row>
    <row r="2">
      <c r="A2" s="2" t="inlineStr">
        <is>
          <t>Evidence completeness</t>
        </is>
      </c>
      <c r="B2" s="2" t="inlineStr">
        <is>
          <t>Are material cost and benefit inputs supported?</t>
        </is>
      </c>
      <c r="C2" s="2" t="inlineStr">
        <is>
          <t>Open</t>
        </is>
      </c>
      <c r="D2" s="2" t="inlineStr">
        <is>
          <t>Validated source for each material input</t>
        </is>
      </c>
      <c r="E2" s="2" t="inlineStr"/>
      <c r="F2" t="inlineStr">
        <is>
          <t>Product Sponsor Persona</t>
        </is>
      </c>
      <c r="G2" t="inlineStr">
        <is>
          <t>Not yet scheduled</t>
        </is>
      </c>
    </row>
    <row r="3">
      <c r="A3" s="2" t="inlineStr">
        <is>
          <t>Scenario credibility</t>
        </is>
      </c>
      <c r="B3" s="2" t="inlineStr">
        <is>
          <t>Are adoption scenarios credible enough to model?</t>
        </is>
      </c>
      <c r="C3" s="2" t="inlineStr">
        <is>
          <t>Open</t>
        </is>
      </c>
      <c r="D3" s="2" t="inlineStr">
        <is>
          <t>Adoption evidence / agreed scenario assumptions</t>
        </is>
      </c>
      <c r="E3" s="2" t="inlineStr"/>
      <c r="F3" t="inlineStr">
        <is>
          <t>Product Sponsor Persona</t>
        </is>
      </c>
      <c r="G3" t="inlineStr">
        <is>
          <t>Not yet scheduled</t>
        </is>
      </c>
    </row>
    <row r="4">
      <c r="A4" s="2" t="inlineStr">
        <is>
          <t>Cost model maturity</t>
        </is>
      </c>
      <c r="B4" s="2" t="inlineStr">
        <is>
          <t>Are material cost drivers defined and sourced?</t>
        </is>
      </c>
      <c r="C4" s="2" t="inlineStr">
        <is>
          <t>Open</t>
        </is>
      </c>
      <c r="D4" s="2" t="inlineStr">
        <is>
          <t>Pricing, capacity, support and integration inputs</t>
        </is>
      </c>
      <c r="E4" s="2" t="inlineStr"/>
      <c r="F4" t="inlineStr">
        <is>
          <t>Product Sponsor Persona</t>
        </is>
      </c>
      <c r="G4" t="inlineStr">
        <is>
          <t>Not yet scheduled</t>
        </is>
      </c>
    </row>
    <row r="5">
      <c r="A5" s="2" t="inlineStr">
        <is>
          <t>Benefit monetisation</t>
        </is>
      </c>
      <c r="B5" s="2" t="inlineStr">
        <is>
          <t>Can any benefit be translated into defensible financial value?</t>
        </is>
      </c>
      <c r="C5" s="2" t="inlineStr">
        <is>
          <t>Open</t>
        </is>
      </c>
      <c r="D5" s="2" t="inlineStr">
        <is>
          <t>Operational actuals and valuation basis</t>
        </is>
      </c>
      <c r="E5" s="2" t="inlineStr"/>
      <c r="F5" t="inlineStr">
        <is>
          <t>Product Sponsor Persona</t>
        </is>
      </c>
      <c r="G5" t="inlineStr">
        <is>
          <t>Not yet scheduled</t>
        </is>
      </c>
    </row>
    <row r="6">
      <c r="A6" s="2" t="inlineStr">
        <is>
          <t>Sensitivity</t>
        </is>
      </c>
      <c r="B6" s="2" t="inlineStr">
        <is>
          <t>Are material assumption changes tested?</t>
        </is>
      </c>
      <c r="C6" s="2" t="inlineStr">
        <is>
          <t>Open</t>
        </is>
      </c>
      <c r="D6" s="2" t="inlineStr">
        <is>
          <t>Downside and upside inputs</t>
        </is>
      </c>
      <c r="E6" s="2" t="inlineStr"/>
      <c r="F6" t="inlineStr">
        <is>
          <t>Product Sponsor Persona</t>
        </is>
      </c>
      <c r="G6" t="inlineStr">
        <is>
          <t>Not yet scheduled</t>
        </is>
      </c>
    </row>
    <row r="7">
      <c r="A7" s="2" t="inlineStr">
        <is>
          <t>Business case</t>
        </is>
      </c>
      <c r="B7" s="2" t="inlineStr">
        <is>
          <t>Is evidence sufficient for an investment or scale decision?</t>
        </is>
      </c>
      <c r="C7" s="2" t="inlineStr">
        <is>
          <t>Open</t>
        </is>
      </c>
      <c r="D7" s="2" t="inlineStr">
        <is>
          <t>Completed model and decision criteria</t>
        </is>
      </c>
      <c r="E7" s="2" t="inlineStr"/>
      <c r="F7" t="inlineStr">
        <is>
          <t>Product Sponsor Persona</t>
        </is>
      </c>
      <c r="G7" t="inlineStr">
        <is>
          <t>Not yet scheduled</t>
        </is>
      </c>
    </row>
    <row r="8">
      <c r="A8" s="2" t="inlineStr">
        <is>
          <t>Delivery readiness</t>
        </is>
      </c>
      <c r="B8" s="2" t="inlineStr">
        <is>
          <t>Are governance and value gates resolved for future delivery?</t>
        </is>
      </c>
      <c r="C8" s="2" t="inlineStr">
        <is>
          <t>Open</t>
        </is>
      </c>
      <c r="D8" s="2" t="inlineStr">
        <is>
          <t>Definition of Ready and authorisation evidence</t>
        </is>
      </c>
      <c r="E8" s="2" t="inlineStr"/>
      <c r="F8" t="inlineStr">
        <is>
          <t>Product Sponsor Persona</t>
        </is>
      </c>
      <c r="G8" t="inlineStr">
        <is>
          <t>Not yet 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2026-09-18T14:18:44Z</dcterms:created>
  <dcterms:modified xmlns:dcterms="http://purl.org/dc/terms/" xmlns:xsi="http://www.w3.org/2001/XMLSchema-instance" xsi:type="dcterms:W3CDTF">2026-09-19T13:40:25Z</dcterms:modified>
</cp:coreProperties>
</file>